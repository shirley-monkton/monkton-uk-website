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ipeline" sheetId="1" state="visible" r:id="rId3"/>
    <sheet name="Summary" sheetId="2" state="visible" r:id="rId4"/>
  </sheets>
  <definedNames>
    <definedName function="false" hidden="true" localSheetId="0" name="_xlnm._FilterDatabase" vbProcedure="false">Pipeline!$A$4:$K$54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<sst xmlns="http://schemas.openxmlformats.org/spreadsheetml/2006/main" count="51" uniqueCount="44">
  <si>
    <t xml:space="preserve">UK Sales Pipeline Tracker</t>
  </si>
  <si>
    <t xml:space="preserve">Stages: Prospect → Qualified → Demo → Negotiation → Closed Won / Closed Lost</t>
  </si>
  <si>
    <t xml:space="preserve">Company</t>
  </si>
  <si>
    <t xml:space="preserve">Contact Name</t>
  </si>
  <si>
    <t xml:space="preserve">Phone</t>
  </si>
  <si>
    <t xml:space="preserve">Email</t>
  </si>
  <si>
    <t xml:space="preserve">Owner</t>
  </si>
  <si>
    <t xml:space="preserve">Framework</t>
  </si>
  <si>
    <t xml:space="preserve">Stage</t>
  </si>
  <si>
    <t xml:space="preserve">Deal Value (£)</t>
  </si>
  <si>
    <t xml:space="preserve">Date Added</t>
  </si>
  <si>
    <t xml:space="preserve">Last Updated</t>
  </si>
  <si>
    <t xml:space="preserve">Notes</t>
  </si>
  <si>
    <t xml:space="preserve">Barclays</t>
  </si>
  <si>
    <t xml:space="preserve">James Wilson</t>
  </si>
  <si>
    <t xml:space="preserve">+44 20 7116 1000</t>
  </si>
  <si>
    <t xml:space="preserve">j.wilson@barclays.co.uk</t>
  </si>
  <si>
    <t xml:space="preserve">Elle Andersen</t>
  </si>
  <si>
    <t xml:space="preserve">Negotiation</t>
  </si>
  <si>
    <t xml:space="preserve">2026-01-15</t>
  </si>
  <si>
    <t xml:space="preserve">2026-03-10</t>
  </si>
  <si>
    <t xml:space="preserve">Final pricing review</t>
  </si>
  <si>
    <t xml:space="preserve">▲ EXAMPLE ROW — Enter your deals below ▼</t>
  </si>
  <si>
    <t xml:space="preserve">Pipeline Summary</t>
  </si>
  <si>
    <t xml:space="preserve">Key Metrics (Excl. Closed)</t>
  </si>
  <si>
    <t xml:space="preserve">Active Deals</t>
  </si>
  <si>
    <t xml:space="preserve">Deal Count</t>
  </si>
  <si>
    <t xml:space="preserve">Total Value (£)</t>
  </si>
  <si>
    <t xml:space="preserve">Avg Value (£)</t>
  </si>
  <si>
    <t xml:space="preserve">% of Pipeline</t>
  </si>
  <si>
    <t xml:space="preserve">Active Pipeline Value (£)</t>
  </si>
  <si>
    <t xml:space="preserve">Prospect</t>
  </si>
  <si>
    <t xml:space="preserve">Avg Deal Size (£)</t>
  </si>
  <si>
    <t xml:space="preserve">Qualified</t>
  </si>
  <si>
    <t xml:space="preserve">Weighted Value (£)</t>
  </si>
  <si>
    <t xml:space="preserve">Demo</t>
  </si>
  <si>
    <t xml:space="preserve">Closed Won</t>
  </si>
  <si>
    <t xml:space="preserve">Closed Lost</t>
  </si>
  <si>
    <t xml:space="preserve">Total</t>
  </si>
  <si>
    <t xml:space="preserve">Pipeline by Owner</t>
  </si>
  <si>
    <t xml:space="preserve">Tom Easdown</t>
  </si>
  <si>
    <t xml:space="preserve">Lee Hannaford</t>
  </si>
  <si>
    <t xml:space="preserve">Stephen Thompson</t>
  </si>
  <si>
    <t xml:space="preserve">Will Gaskins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</si>
</sst>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£#,##0"/>
    <numFmt numFmtId="166" formatCode="yyyy\-mm\-dd"/>
    <numFmt numFmtId="167" formatCode="\£#,##0"/>
    <numFmt numFmtId="168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F5496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i val="true"/>
      <sz val="9"/>
      <color rgb="FF808080"/>
      <name val="Arial"/>
      <family val="0"/>
      <charset val="1"/>
    </font>
    <font>
      <b val="true"/>
      <sz val="14"/>
      <color rgb="FF2F5496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2F5496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F2CC"/>
        <bgColor rgb="FFE2EFDA"/>
      </patternFill>
    </fill>
    <fill>
      <patternFill patternType="solid">
        <fgColor rgb="FF70AD47"/>
        <bgColor rgb="FF99CC00"/>
      </patternFill>
    </fill>
    <fill>
      <patternFill patternType="solid">
        <fgColor rgb="FFE2EFDA"/>
        <bgColor rgb="FFF2F7FB"/>
      </patternFill>
    </fill>
    <fill>
      <patternFill patternType="solid">
        <fgColor rgb="FFF2F7FB"/>
        <bgColor rgb="FFFFFFFF"/>
      </patternFill>
    </fill>
    <fill>
      <patternFill patternType="solid">
        <fgColor rgb="FF4472C4"/>
        <bgColor rgb="FF2F5496"/>
      </patternFill>
    </fill>
    <fill>
      <patternFill patternType="solid">
        <fgColor rgb="FFED7D31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rgb="FF00B050"/>
        <bgColor rgb="FF008080"/>
      </patternFill>
    </fill>
    <fill>
      <patternFill patternType="solid">
        <fgColor rgb="FFC00000"/>
        <bgColor rgb="FF8000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/>
      <right/>
      <top style="medium">
        <color rgb="FFA9D18E"/>
      </top>
      <bottom style="medium">
        <color rgb="FFA9D18E"/>
      </bottom>
      <diagonal/>
    </border>
    <border diagonalUp="false" diagonalDown="false">
      <left style="thin">
        <color rgb="FFD9D9D9"/>
      </left>
      <right style="thin">
        <color rgb="FFD9D9D9"/>
      </right>
      <top style="double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496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7F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0AD47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F2F7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28"/>
    <col collapsed="false" customWidth="true" hidden="false" outlineLevel="0" max="5" min="5" style="1" width="18"/>
    <col collapsed="false" customWidth="true" hidden="false" outlineLevel="0" max="7" min="6" style="1" width="20"/>
    <col collapsed="false" customWidth="true" hidden="false" outlineLevel="0" max="8" min="8" style="1" width="35"/>
  </cols>
  <sheetData>
    <row r="1" customFormat="false" ht="39.7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15" hidden="false" customHeight="true" outlineLevel="0" collapsed="false">
      <c r="A5" s="5" t="s">
        <v>13</v>
      </c>
      <c r="B5" s="5" t="s">
        <v>14</v>
      </c>
      <c r="C5" s="5" t="s">
        <v>15</v>
      </c>
      <c r="D5" s="5" t="s">
        <v>16</v>
      </c>
      <c r="E5" s="5" t="s">
        <v>17</v>
      </c>
      <c r="F5" s="6"/>
      <c r="G5" s="7" t="s">
        <v>18</v>
      </c>
      <c r="H5" s="8" t="n">
        <v>75000</v>
      </c>
      <c r="I5" s="9" t="s">
        <v>19</v>
      </c>
      <c r="J5" s="9" t="s">
        <v>20</v>
      </c>
      <c r="K5" s="5" t="s">
        <v>21</v>
      </c>
    </row>
    <row r="6" customFormat="false" ht="21.75" hidden="false" customHeight="true" outlineLevel="0" collapsed="false">
      <c r="A6" s="10" t="s">
        <v>22</v>
      </c>
      <c r="B6" s="10"/>
      <c r="C6" s="10"/>
      <c r="D6" s="10"/>
      <c r="E6" s="10"/>
      <c r="F6" s="10"/>
      <c r="G6" s="10"/>
      <c r="H6" s="10"/>
      <c r="I6" s="10"/>
      <c r="J6" s="10"/>
      <c r="K6" s="10"/>
    </row>
    <row r="7" customFormat="false" ht="15" hidden="false" customHeight="true" outlineLevel="0" collapsed="false">
      <c r="A7" s="11"/>
      <c r="B7" s="11"/>
      <c r="C7" s="11"/>
      <c r="D7" s="11"/>
      <c r="E7" s="11"/>
      <c r="F7" s="11"/>
      <c r="G7" s="11"/>
      <c r="H7" s="12"/>
      <c r="I7" s="13"/>
      <c r="J7" s="13"/>
      <c r="K7" s="11"/>
    </row>
    <row r="8" customFormat="false" ht="15" hidden="false" customHeight="true" outlineLevel="0" collapsed="false">
      <c r="A8" s="14"/>
      <c r="B8" s="14"/>
      <c r="C8" s="14"/>
      <c r="D8" s="14"/>
      <c r="E8" s="14"/>
      <c r="F8" s="14"/>
      <c r="G8" s="14"/>
      <c r="H8" s="15"/>
      <c r="I8" s="16"/>
      <c r="J8" s="16"/>
      <c r="K8" s="14"/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2"/>
      <c r="I9" s="13"/>
      <c r="J9" s="13"/>
      <c r="K9" s="11"/>
    </row>
    <row r="10" customFormat="false" ht="15" hidden="false" customHeight="true" outlineLevel="0" collapsed="false">
      <c r="A10" s="14"/>
      <c r="B10" s="14"/>
      <c r="C10" s="14"/>
      <c r="D10" s="14"/>
      <c r="E10" s="14"/>
      <c r="F10" s="14"/>
      <c r="G10" s="14"/>
      <c r="H10" s="15"/>
      <c r="I10" s="16"/>
      <c r="J10" s="16"/>
      <c r="K10" s="14"/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2"/>
      <c r="I11" s="13"/>
      <c r="J11" s="13"/>
      <c r="K11" s="11"/>
    </row>
    <row r="12" customFormat="false" ht="15" hidden="false" customHeight="true" outlineLevel="0" collapsed="false">
      <c r="A12" s="14"/>
      <c r="B12" s="14"/>
      <c r="C12" s="14"/>
      <c r="D12" s="14"/>
      <c r="E12" s="14"/>
      <c r="F12" s="14"/>
      <c r="G12" s="14"/>
      <c r="H12" s="15"/>
      <c r="I12" s="16"/>
      <c r="J12" s="16"/>
      <c r="K12" s="14"/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2"/>
      <c r="I13" s="13"/>
      <c r="J13" s="13"/>
      <c r="K13" s="11"/>
    </row>
    <row r="14" customFormat="false" ht="15" hidden="false" customHeight="true" outlineLevel="0" collapsed="false">
      <c r="A14" s="14"/>
      <c r="B14" s="14"/>
      <c r="C14" s="14"/>
      <c r="D14" s="14"/>
      <c r="E14" s="14"/>
      <c r="F14" s="14"/>
      <c r="G14" s="14"/>
      <c r="H14" s="15"/>
      <c r="I14" s="16"/>
      <c r="J14" s="16"/>
      <c r="K14" s="14"/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2"/>
      <c r="I15" s="13"/>
      <c r="J15" s="13"/>
      <c r="K15" s="11"/>
    </row>
    <row r="16" customFormat="false" ht="15" hidden="false" customHeight="true" outlineLevel="0" collapsed="false">
      <c r="A16" s="14"/>
      <c r="B16" s="14"/>
      <c r="C16" s="14"/>
      <c r="D16" s="14"/>
      <c r="E16" s="14"/>
      <c r="F16" s="14"/>
      <c r="G16" s="14"/>
      <c r="H16" s="15"/>
      <c r="I16" s="16"/>
      <c r="J16" s="16"/>
      <c r="K16" s="14"/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2"/>
      <c r="I17" s="13"/>
      <c r="J17" s="13"/>
      <c r="K17" s="11"/>
    </row>
    <row r="18" customFormat="false" ht="15" hidden="false" customHeight="true" outlineLevel="0" collapsed="false">
      <c r="A18" s="14"/>
      <c r="B18" s="14"/>
      <c r="C18" s="14"/>
      <c r="D18" s="14"/>
      <c r="E18" s="14"/>
      <c r="F18" s="14"/>
      <c r="G18" s="14"/>
      <c r="H18" s="15"/>
      <c r="I18" s="16"/>
      <c r="J18" s="16"/>
      <c r="K18" s="14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2"/>
      <c r="I19" s="13"/>
      <c r="J19" s="13"/>
      <c r="K19" s="11"/>
    </row>
    <row r="20" customFormat="false" ht="15" hidden="false" customHeight="true" outlineLevel="0" collapsed="false">
      <c r="A20" s="14"/>
      <c r="B20" s="14"/>
      <c r="C20" s="14"/>
      <c r="D20" s="14"/>
      <c r="E20" s="14"/>
      <c r="F20" s="14"/>
      <c r="G20" s="14"/>
      <c r="H20" s="15"/>
      <c r="I20" s="16"/>
      <c r="J20" s="16"/>
      <c r="K20" s="14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2"/>
      <c r="I21" s="13"/>
      <c r="J21" s="13"/>
      <c r="K21" s="11"/>
    </row>
    <row r="22" customFormat="false" ht="15" hidden="false" customHeight="true" outlineLevel="0" collapsed="false">
      <c r="A22" s="14"/>
      <c r="B22" s="14"/>
      <c r="C22" s="14"/>
      <c r="D22" s="14"/>
      <c r="E22" s="14"/>
      <c r="F22" s="14"/>
      <c r="G22" s="14"/>
      <c r="H22" s="15"/>
      <c r="I22" s="16"/>
      <c r="J22" s="16"/>
      <c r="K22" s="14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2"/>
      <c r="I23" s="13"/>
      <c r="J23" s="13"/>
      <c r="K23" s="11"/>
    </row>
    <row r="24" customFormat="false" ht="15" hidden="false" customHeight="true" outlineLevel="0" collapsed="false">
      <c r="A24" s="14"/>
      <c r="B24" s="14"/>
      <c r="C24" s="14"/>
      <c r="D24" s="14"/>
      <c r="E24" s="14"/>
      <c r="F24" s="14"/>
      <c r="G24" s="14"/>
      <c r="H24" s="15"/>
      <c r="I24" s="16"/>
      <c r="J24" s="16"/>
      <c r="K24" s="14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2"/>
      <c r="I25" s="13"/>
      <c r="J25" s="13"/>
      <c r="K25" s="11"/>
    </row>
    <row r="26" customFormat="false" ht="15" hidden="false" customHeight="true" outlineLevel="0" collapsed="false">
      <c r="A26" s="14"/>
      <c r="B26" s="14"/>
      <c r="C26" s="14"/>
      <c r="D26" s="14"/>
      <c r="E26" s="14"/>
      <c r="F26" s="14"/>
      <c r="G26" s="14"/>
      <c r="H26" s="15"/>
      <c r="I26" s="16"/>
      <c r="J26" s="16"/>
      <c r="K26" s="14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2"/>
      <c r="I27" s="13"/>
      <c r="J27" s="13"/>
      <c r="K27" s="11"/>
    </row>
    <row r="28" customFormat="false" ht="15" hidden="false" customHeight="true" outlineLevel="0" collapsed="false">
      <c r="A28" s="14"/>
      <c r="B28" s="14"/>
      <c r="C28" s="14"/>
      <c r="D28" s="14"/>
      <c r="E28" s="14"/>
      <c r="F28" s="14"/>
      <c r="G28" s="14"/>
      <c r="H28" s="15"/>
      <c r="I28" s="16"/>
      <c r="J28" s="16"/>
      <c r="K28" s="14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2"/>
      <c r="I29" s="13"/>
      <c r="J29" s="13"/>
      <c r="K29" s="11"/>
    </row>
    <row r="30" customFormat="false" ht="15" hidden="false" customHeight="true" outlineLevel="0" collapsed="false">
      <c r="A30" s="14"/>
      <c r="B30" s="14"/>
      <c r="C30" s="14"/>
      <c r="D30" s="14"/>
      <c r="E30" s="14"/>
      <c r="F30" s="14"/>
      <c r="G30" s="14"/>
      <c r="H30" s="15"/>
      <c r="I30" s="16"/>
      <c r="J30" s="16"/>
      <c r="K30" s="14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2"/>
      <c r="I31" s="13"/>
      <c r="J31" s="13"/>
      <c r="K31" s="11"/>
    </row>
    <row r="32" customFormat="false" ht="15" hidden="false" customHeight="true" outlineLevel="0" collapsed="false">
      <c r="A32" s="14"/>
      <c r="B32" s="14"/>
      <c r="C32" s="14"/>
      <c r="D32" s="14"/>
      <c r="E32" s="14"/>
      <c r="F32" s="14"/>
      <c r="G32" s="14"/>
      <c r="H32" s="15"/>
      <c r="I32" s="16"/>
      <c r="J32" s="16"/>
      <c r="K32" s="14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2"/>
      <c r="I33" s="13"/>
      <c r="J33" s="13"/>
      <c r="K33" s="11"/>
    </row>
    <row r="34" customFormat="false" ht="15" hidden="false" customHeight="true" outlineLevel="0" collapsed="false">
      <c r="A34" s="14"/>
      <c r="B34" s="14"/>
      <c r="C34" s="14"/>
      <c r="D34" s="14"/>
      <c r="E34" s="14"/>
      <c r="F34" s="14"/>
      <c r="G34" s="14"/>
      <c r="H34" s="15"/>
      <c r="I34" s="16"/>
      <c r="J34" s="16"/>
      <c r="K34" s="14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2"/>
      <c r="I35" s="13"/>
      <c r="J35" s="13"/>
      <c r="K35" s="11"/>
    </row>
    <row r="36" customFormat="false" ht="15" hidden="false" customHeight="true" outlineLevel="0" collapsed="false">
      <c r="A36" s="14"/>
      <c r="B36" s="14"/>
      <c r="C36" s="14"/>
      <c r="D36" s="14"/>
      <c r="E36" s="14"/>
      <c r="F36" s="14"/>
      <c r="G36" s="14"/>
      <c r="H36" s="15"/>
      <c r="I36" s="16"/>
      <c r="J36" s="16"/>
      <c r="K36" s="14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2"/>
      <c r="I37" s="13"/>
      <c r="J37" s="13"/>
      <c r="K37" s="11"/>
    </row>
    <row r="38" customFormat="false" ht="15" hidden="false" customHeight="true" outlineLevel="0" collapsed="false">
      <c r="A38" s="14"/>
      <c r="B38" s="14"/>
      <c r="C38" s="14"/>
      <c r="D38" s="14"/>
      <c r="E38" s="14"/>
      <c r="F38" s="14"/>
      <c r="G38" s="14"/>
      <c r="H38" s="15"/>
      <c r="I38" s="16"/>
      <c r="J38" s="16"/>
      <c r="K38" s="14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2"/>
      <c r="I39" s="13"/>
      <c r="J39" s="13"/>
      <c r="K39" s="11"/>
    </row>
    <row r="40" customFormat="false" ht="15" hidden="false" customHeight="true" outlineLevel="0" collapsed="false">
      <c r="A40" s="14"/>
      <c r="B40" s="14"/>
      <c r="C40" s="14"/>
      <c r="D40" s="14"/>
      <c r="E40" s="14"/>
      <c r="F40" s="14"/>
      <c r="G40" s="14"/>
      <c r="H40" s="15"/>
      <c r="I40" s="16"/>
      <c r="J40" s="16"/>
      <c r="K40" s="14"/>
    </row>
    <row r="41" customFormat="false" ht="15" hidden="false" customHeight="true" outlineLevel="0" collapsed="false">
      <c r="A41" s="11"/>
      <c r="B41" s="11"/>
      <c r="C41" s="11"/>
      <c r="D41" s="11"/>
      <c r="E41" s="11"/>
      <c r="F41" s="11"/>
      <c r="G41" s="11"/>
      <c r="H41" s="12"/>
      <c r="I41" s="13"/>
      <c r="J41" s="13"/>
      <c r="K41" s="11"/>
    </row>
    <row r="42" customFormat="false" ht="15" hidden="false" customHeight="true" outlineLevel="0" collapsed="false">
      <c r="A42" s="14"/>
      <c r="B42" s="14"/>
      <c r="C42" s="14"/>
      <c r="D42" s="14"/>
      <c r="E42" s="14"/>
      <c r="F42" s="14"/>
      <c r="G42" s="14"/>
      <c r="H42" s="15"/>
      <c r="I42" s="16"/>
      <c r="J42" s="16"/>
      <c r="K42" s="14"/>
    </row>
    <row r="43" customFormat="false" ht="15" hidden="false" customHeight="true" outlineLevel="0" collapsed="false">
      <c r="A43" s="11"/>
      <c r="B43" s="11"/>
      <c r="C43" s="11"/>
      <c r="D43" s="11"/>
      <c r="E43" s="11"/>
      <c r="F43" s="11"/>
      <c r="G43" s="11"/>
      <c r="H43" s="12"/>
      <c r="I43" s="13"/>
      <c r="J43" s="13"/>
      <c r="K43" s="11"/>
    </row>
    <row r="44" customFormat="false" ht="15" hidden="false" customHeight="true" outlineLevel="0" collapsed="false">
      <c r="A44" s="14"/>
      <c r="B44" s="14"/>
      <c r="C44" s="14"/>
      <c r="D44" s="14"/>
      <c r="E44" s="14"/>
      <c r="F44" s="14"/>
      <c r="G44" s="14"/>
      <c r="H44" s="15"/>
      <c r="I44" s="16"/>
      <c r="J44" s="16"/>
      <c r="K44" s="14"/>
    </row>
    <row r="45" customFormat="false" ht="15" hidden="false" customHeight="true" outlineLevel="0" collapsed="false">
      <c r="A45" s="11"/>
      <c r="B45" s="11"/>
      <c r="C45" s="11"/>
      <c r="D45" s="11"/>
      <c r="E45" s="11"/>
      <c r="F45" s="11"/>
      <c r="G45" s="11"/>
      <c r="H45" s="12"/>
      <c r="I45" s="13"/>
      <c r="J45" s="13"/>
      <c r="K45" s="11"/>
    </row>
    <row r="46" customFormat="false" ht="15" hidden="false" customHeight="true" outlineLevel="0" collapsed="false">
      <c r="A46" s="14"/>
      <c r="B46" s="14"/>
      <c r="C46" s="14"/>
      <c r="D46" s="14"/>
      <c r="E46" s="14"/>
      <c r="F46" s="14"/>
      <c r="G46" s="14"/>
      <c r="H46" s="15"/>
      <c r="I46" s="16"/>
      <c r="J46" s="16"/>
      <c r="K46" s="14"/>
    </row>
    <row r="47" customFormat="false" ht="15" hidden="false" customHeight="true" outlineLevel="0" collapsed="false">
      <c r="A47" s="11"/>
      <c r="B47" s="11"/>
      <c r="C47" s="11"/>
      <c r="D47" s="11"/>
      <c r="E47" s="11"/>
      <c r="F47" s="11"/>
      <c r="G47" s="11"/>
      <c r="H47" s="12"/>
      <c r="I47" s="13"/>
      <c r="J47" s="13"/>
      <c r="K47" s="11"/>
    </row>
    <row r="48" customFormat="false" ht="15" hidden="false" customHeight="true" outlineLevel="0" collapsed="false">
      <c r="A48" s="14"/>
      <c r="B48" s="14"/>
      <c r="C48" s="14"/>
      <c r="D48" s="14"/>
      <c r="E48" s="14"/>
      <c r="F48" s="14"/>
      <c r="G48" s="14"/>
      <c r="H48" s="15"/>
      <c r="I48" s="16"/>
      <c r="J48" s="16"/>
      <c r="K48" s="14"/>
    </row>
    <row r="49" customFormat="false" ht="15" hidden="false" customHeight="true" outlineLevel="0" collapsed="false">
      <c r="A49" s="11"/>
      <c r="B49" s="11"/>
      <c r="C49" s="11"/>
      <c r="D49" s="11"/>
      <c r="E49" s="11"/>
      <c r="F49" s="11"/>
      <c r="G49" s="11"/>
      <c r="H49" s="12"/>
      <c r="I49" s="13"/>
      <c r="J49" s="13"/>
      <c r="K49" s="11"/>
    </row>
    <row r="50" customFormat="false" ht="15" hidden="false" customHeight="true" outlineLevel="0" collapsed="false">
      <c r="A50" s="14"/>
      <c r="B50" s="14"/>
      <c r="C50" s="14"/>
      <c r="D50" s="14"/>
      <c r="E50" s="14"/>
      <c r="F50" s="14"/>
      <c r="G50" s="14"/>
      <c r="H50" s="15"/>
      <c r="I50" s="16"/>
      <c r="J50" s="16"/>
      <c r="K50" s="14"/>
    </row>
    <row r="51" customFormat="false" ht="15" hidden="false" customHeight="true" outlineLevel="0" collapsed="false">
      <c r="A51" s="11"/>
      <c r="B51" s="11"/>
      <c r="C51" s="11"/>
      <c r="D51" s="11"/>
      <c r="E51" s="11"/>
      <c r="F51" s="11"/>
      <c r="G51" s="11"/>
      <c r="H51" s="12"/>
      <c r="I51" s="13"/>
      <c r="J51" s="13"/>
      <c r="K51" s="11"/>
    </row>
    <row r="52" customFormat="false" ht="15" hidden="false" customHeight="true" outlineLevel="0" collapsed="false">
      <c r="A52" s="14"/>
      <c r="B52" s="14"/>
      <c r="C52" s="14"/>
      <c r="D52" s="14"/>
      <c r="E52" s="14"/>
      <c r="F52" s="14"/>
      <c r="G52" s="14"/>
      <c r="H52" s="15"/>
      <c r="I52" s="16"/>
      <c r="J52" s="16"/>
      <c r="K52" s="14"/>
    </row>
    <row r="53" customFormat="false" ht="15" hidden="false" customHeight="true" outlineLevel="0" collapsed="false">
      <c r="A53" s="11"/>
      <c r="B53" s="11"/>
      <c r="C53" s="11"/>
      <c r="D53" s="11"/>
      <c r="E53" s="11"/>
      <c r="F53" s="11"/>
      <c r="G53" s="11"/>
      <c r="H53" s="12"/>
      <c r="I53" s="13"/>
      <c r="J53" s="13"/>
      <c r="K53" s="11"/>
    </row>
    <row r="54" customFormat="false" ht="15" hidden="false" customHeight="true" outlineLevel="0" collapsed="false">
      <c r="A54" s="14"/>
      <c r="B54" s="14"/>
      <c r="C54" s="14"/>
      <c r="D54" s="14"/>
      <c r="E54" s="14"/>
      <c r="F54" s="14"/>
      <c r="G54" s="14"/>
      <c r="H54" s="15"/>
      <c r="I54" s="16"/>
      <c r="J54" s="16"/>
      <c r="K54" s="14"/>
    </row>
  </sheetData>
  <autoFilter ref="A4:K54"/>
  <mergeCells count="3">
    <mergeCell ref="A1:H1"/>
    <mergeCell ref="A2:H2"/>
    <mergeCell ref="A6:K6"/>
  </mergeCells>
  <dataValidations count="1">
    <dataValidation allowBlank="true" error="Please select a valid pipeline stage" errorStyle="stop" errorTitle="Invalid Stage" operator="between" prompt="Select the deal stage" promptTitle="Pipeline Stage" showDropDown="false" showErrorMessage="false" showInputMessage="false" sqref="G5 G7:G54" type="list">
      <formula1>"Prospect,Qualified,Demo,Negotiation,Closed Won,Closed Lost"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4"/>
    <col collapsed="false" customWidth="true" hidden="false" outlineLevel="0" max="4" min="3" style="1" width="18"/>
    <col collapsed="false" customWidth="true" hidden="false" outlineLevel="0" max="5" min="5" style="1" width="16"/>
    <col collapsed="false" customWidth="true" hidden="false" outlineLevel="0" max="7" min="7" style="1" width="28"/>
    <col collapsed="false" customWidth="true" hidden="false" outlineLevel="0" max="8" min="8" style="1" width="20"/>
  </cols>
  <sheetData>
    <row r="1" customFormat="false" ht="39.75" hidden="false" customHeight="true" outlineLevel="0" collapsed="false">
      <c r="A1" s="2" t="s">
        <v>23</v>
      </c>
      <c r="B1" s="2"/>
      <c r="C1" s="2"/>
      <c r="D1" s="2"/>
      <c r="E1" s="2"/>
      <c r="G1" s="17" t="s">
        <v>24</v>
      </c>
      <c r="H1" s="17"/>
      <c r="I1" s="17"/>
      <c r="J1" s="17"/>
    </row>
    <row r="2" customFormat="false" ht="15" hidden="false" customHeight="true" outlineLevel="0" collapsed="false">
      <c r="G2" s="18" t="s">
        <v>25</v>
      </c>
      <c r="H2" s="19" t="n">
        <f aca="false">COUNTIFS(Pipeline!G7:G54,"&lt;&gt;Closed Won",Pipeline!G7:G54,"&lt;&gt;Closed Lost",Pipeline!G7:G54,"&lt;&gt;")</f>
        <v>0</v>
      </c>
    </row>
    <row r="3" customFormat="false" ht="15" hidden="false" customHeight="true" outlineLevel="0" collapsed="false">
      <c r="A3" s="4" t="s">
        <v>8</v>
      </c>
      <c r="B3" s="4" t="s">
        <v>26</v>
      </c>
      <c r="C3" s="4" t="s">
        <v>27</v>
      </c>
      <c r="D3" s="4" t="s">
        <v>28</v>
      </c>
      <c r="E3" s="4" t="s">
        <v>29</v>
      </c>
      <c r="G3" s="18" t="s">
        <v>30</v>
      </c>
      <c r="H3" s="20" t="n">
        <f aca="false">SUMIFS(Pipeline!H7:H54,Pipeline!G7:G54,"&lt;&gt;Closed Won",Pipeline!G7:G54,"&lt;&gt;Closed Lost",Pipeline!G7:G54,"&lt;&gt;")</f>
        <v>0</v>
      </c>
    </row>
    <row r="4" customFormat="false" ht="15" hidden="false" customHeight="true" outlineLevel="0" collapsed="false">
      <c r="A4" s="21" t="s">
        <v>31</v>
      </c>
      <c r="B4" s="22" t="n">
        <f aca="false">COUNTIF(Pipeline!G7:G54,A4)</f>
        <v>0</v>
      </c>
      <c r="C4" s="23" t="n">
        <f aca="false">SUMIF(Pipeline!G7:G54,A4,Pipeline!H7:H54)</f>
        <v>0</v>
      </c>
      <c r="D4" s="23" t="n">
        <f aca="false">IFERROR(C4/B4,0)</f>
        <v>0</v>
      </c>
      <c r="E4" s="24" t="n">
        <f aca="false">IFERROR(C4/C$10,0)</f>
        <v>0</v>
      </c>
      <c r="G4" s="18" t="s">
        <v>32</v>
      </c>
      <c r="H4" s="20" t="n">
        <f aca="false">IFERROR(H3/H2,0)</f>
        <v>0</v>
      </c>
    </row>
    <row r="5" customFormat="false" ht="15" hidden="false" customHeight="true" outlineLevel="0" collapsed="false">
      <c r="A5" s="25" t="s">
        <v>33</v>
      </c>
      <c r="B5" s="22" t="n">
        <f aca="false">COUNTIF(Pipeline!G7:G54,A5)</f>
        <v>0</v>
      </c>
      <c r="C5" s="23" t="n">
        <f aca="false">SUMIF(Pipeline!G7:G54,A5,Pipeline!H7:H54)</f>
        <v>0</v>
      </c>
      <c r="D5" s="23" t="n">
        <f aca="false">IFERROR(C5/B5,0)</f>
        <v>0</v>
      </c>
      <c r="E5" s="24" t="n">
        <f aca="false">IFERROR(C5/C$10,0)</f>
        <v>0</v>
      </c>
      <c r="G5" s="18" t="s">
        <v>34</v>
      </c>
      <c r="H5" s="20" t="n">
        <f aca="false">SUMPRODUCT((Pipeline!G7:G54="Qualified")*Pipeline!H7:H54*0.25)+SUMPRODUCT((Pipeline!G7:G54="Demo")*Pipeline!H7:H54*0.5)+SUMPRODUCT((Pipeline!G7:G54="Negotiation")*Pipeline!H7:H54*0.75)+SUMPRODUCT((Pipeline!G7:G54="Prospect")*Pipeline!H7:H54*0.1)</f>
        <v>0</v>
      </c>
    </row>
    <row r="6" customFormat="false" ht="15" hidden="false" customHeight="true" outlineLevel="0" collapsed="false">
      <c r="A6" s="26" t="s">
        <v>35</v>
      </c>
      <c r="B6" s="22" t="n">
        <f aca="false">COUNTIF(Pipeline!G7:G54,A6)</f>
        <v>0</v>
      </c>
      <c r="C6" s="23" t="n">
        <f aca="false">SUMIF(Pipeline!G7:G54,A6,Pipeline!H7:H54)</f>
        <v>0</v>
      </c>
      <c r="D6" s="23" t="n">
        <f aca="false">IFERROR(C6/B6,0)</f>
        <v>0</v>
      </c>
      <c r="E6" s="24" t="n">
        <f aca="false">IFERROR(C6/C$10,0)</f>
        <v>0</v>
      </c>
    </row>
    <row r="7" customFormat="false" ht="15" hidden="false" customHeight="true" outlineLevel="0" collapsed="false">
      <c r="A7" s="27" t="s">
        <v>18</v>
      </c>
      <c r="B7" s="22" t="n">
        <f aca="false">COUNTIF(Pipeline!G7:G54,A7)</f>
        <v>0</v>
      </c>
      <c r="C7" s="23" t="n">
        <f aca="false">SUMIF(Pipeline!G7:G54,A7,Pipeline!H7:H54)</f>
        <v>0</v>
      </c>
      <c r="D7" s="23" t="n">
        <f aca="false">IFERROR(C7/B7,0)</f>
        <v>0</v>
      </c>
      <c r="E7" s="24" t="n">
        <f aca="false">IFERROR(C7/C$10,0)</f>
        <v>0</v>
      </c>
    </row>
    <row r="8" customFormat="false" ht="15" hidden="false" customHeight="true" outlineLevel="0" collapsed="false">
      <c r="A8" s="28" t="s">
        <v>36</v>
      </c>
      <c r="B8" s="22" t="n">
        <f aca="false">COUNTIF(Pipeline!G7:G54,A8)</f>
        <v>0</v>
      </c>
      <c r="C8" s="23" t="n">
        <f aca="false">SUMIF(Pipeline!G7:G54,A8,Pipeline!H7:H54)</f>
        <v>0</v>
      </c>
      <c r="D8" s="23" t="n">
        <f aca="false">IFERROR(C8/B8,0)</f>
        <v>0</v>
      </c>
      <c r="E8" s="24" t="n">
        <f aca="false">IFERROR(C8/C$10,0)</f>
        <v>0</v>
      </c>
    </row>
    <row r="9" customFormat="false" ht="15" hidden="false" customHeight="true" outlineLevel="0" collapsed="false">
      <c r="A9" s="29" t="s">
        <v>37</v>
      </c>
      <c r="B9" s="22" t="n">
        <f aca="false">COUNTIF(Pipeline!G7:G54,A9)</f>
        <v>0</v>
      </c>
      <c r="C9" s="23" t="n">
        <f aca="false">SUMIF(Pipeline!G7:G54,A9,Pipeline!H7:H54)</f>
        <v>0</v>
      </c>
      <c r="D9" s="23" t="n">
        <f aca="false">IFERROR(C9/B9,0)</f>
        <v>0</v>
      </c>
      <c r="E9" s="24" t="n">
        <f aca="false">IFERROR(C9/C$10,0)</f>
        <v>0</v>
      </c>
    </row>
    <row r="10" customFormat="false" ht="15" hidden="false" customHeight="true" outlineLevel="0" collapsed="false">
      <c r="A10" s="30" t="s">
        <v>38</v>
      </c>
      <c r="B10" s="30" t="n">
        <f aca="false">SUM(B4:B9)</f>
        <v>0</v>
      </c>
      <c r="C10" s="31" t="n">
        <f aca="false">SUM(C4:C9)</f>
        <v>0</v>
      </c>
      <c r="D10" s="32" t="n">
        <f aca="false">IFERROR(C10/B10,0)</f>
        <v>0</v>
      </c>
      <c r="E10" s="33" t="n">
        <f aca="false">IFERROR(C10/C10,0)</f>
        <v>0</v>
      </c>
    </row>
    <row r="13" customFormat="false" ht="30" hidden="false" customHeight="true" outlineLevel="0" collapsed="false">
      <c r="A13" s="17" t="s">
        <v>39</v>
      </c>
      <c r="B13" s="17"/>
      <c r="C13" s="17"/>
      <c r="D13" s="17"/>
    </row>
    <row r="14" customFormat="false" ht="15" hidden="false" customHeight="true" outlineLevel="0" collapsed="false">
      <c r="A14" s="4" t="s">
        <v>6</v>
      </c>
      <c r="B14" s="4" t="s">
        <v>26</v>
      </c>
      <c r="C14" s="4" t="s">
        <v>27</v>
      </c>
      <c r="D14" s="4" t="s">
        <v>28</v>
      </c>
    </row>
    <row r="15" customFormat="false" ht="15" hidden="false" customHeight="true" outlineLevel="0" collapsed="false">
      <c r="A15" s="34" t="s">
        <v>17</v>
      </c>
      <c r="B15" s="34" t="n">
        <f aca="false">COUNTIF(Pipeline!E7:E54,A15)</f>
        <v>0</v>
      </c>
      <c r="C15" s="35" t="n">
        <f aca="false">SUMIF(Pipeline!E7:E54,A15,Pipeline!H7:H54)</f>
        <v>0</v>
      </c>
      <c r="D15" s="35" t="n">
        <f aca="false">IFERROR(C15/B15,0)</f>
        <v>0</v>
      </c>
    </row>
    <row r="16" customFormat="false" ht="15" hidden="false" customHeight="true" outlineLevel="0" collapsed="false">
      <c r="A16" s="34" t="s">
        <v>40</v>
      </c>
      <c r="B16" s="34" t="n">
        <f aca="false">COUNTIF(Pipeline!E7:E54,A16)</f>
        <v>0</v>
      </c>
      <c r="C16" s="35" t="n">
        <f aca="false">SUMIF(Pipeline!E7:E54,A16,Pipeline!H7:H54)</f>
        <v>0</v>
      </c>
      <c r="D16" s="35" t="n">
        <f aca="false">IFERROR(C16/B16,0)</f>
        <v>0</v>
      </c>
    </row>
    <row r="17" customFormat="false" ht="15" hidden="false" customHeight="true" outlineLevel="0" collapsed="false">
      <c r="A17" s="34" t="s">
        <v>41</v>
      </c>
      <c r="B17" s="34" t="n">
        <f aca="false">COUNTIF(Pipeline!E7:E54,A17)</f>
        <v>0</v>
      </c>
      <c r="C17" s="35" t="n">
        <f aca="false">SUMIF(Pipeline!E7:E54,A17,Pipeline!H7:H54)</f>
        <v>0</v>
      </c>
      <c r="D17" s="35" t="n">
        <f aca="false">IFERROR(C17/B17,0)</f>
        <v>0</v>
      </c>
    </row>
    <row r="18" customFormat="false" ht="15" hidden="false" customHeight="true" outlineLevel="0" collapsed="false">
      <c r="A18" s="34" t="s">
        <v>42</v>
      </c>
      <c r="B18" s="34" t="n">
        <f aca="false">COUNTIF(Pipeline!E7:E54,A18)</f>
        <v>0</v>
      </c>
      <c r="C18" s="35" t="n">
        <f aca="false">SUMIF(Pipeline!E7:E54,A18,Pipeline!H7:H54)</f>
        <v>0</v>
      </c>
      <c r="D18" s="35" t="n">
        <f aca="false">IFERROR(C18/B18,0)</f>
        <v>0</v>
      </c>
    </row>
    <row r="19" customFormat="false" ht="15" hidden="false" customHeight="true" outlineLevel="0" collapsed="false">
      <c r="A19" s="34" t="s">
        <v>43</v>
      </c>
      <c r="B19" s="34" t="n">
        <f aca="false">COUNTIF(Pipeline!E7:E54,A19)</f>
        <v>0</v>
      </c>
      <c r="C19" s="35" t="n">
        <f aca="false">SUMIF(Pipeline!E7:E54,A19,Pipeline!H7:H54)</f>
        <v>0</v>
      </c>
      <c r="D19" s="35" t="n">
        <f aca="false">IFERROR(C19/B19,0)</f>
        <v>0</v>
      </c>
    </row>
  </sheetData>
  <mergeCells count="3">
    <mergeCell ref="A1:E1"/>
    <mergeCell ref="G1:J1"/>
    <mergeCell ref="A13:D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2026-03-18T18:10:18Z</dcterms:created>
  <dc:creator>openpyxl</dc:creator>
  <dc:description/>
  <dc:language>en-US</dc:language>
  <cp:lastModifiedBy/>
  <dcterms:modified xsi:type="dcterms:W3CDTF">2026-03-18T18:44:58Z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